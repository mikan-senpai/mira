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kan\Downloads\"/>
    </mc:Choice>
  </mc:AlternateContent>
  <xr:revisionPtr revIDLastSave="0" documentId="13_ncr:1_{2C27EF44-9515-449E-A7E2-D1519B44266B}" xr6:coauthVersionLast="47" xr6:coauthVersionMax="47" xr10:uidLastSave="{00000000-0000-0000-0000-000000000000}"/>
  <bookViews>
    <workbookView xWindow="1170" yWindow="1170" windowWidth="21600" windowHeight="11295" tabRatio="500" activeTab="4" xr2:uid="{00000000-000D-0000-FFFF-FFFF00000000}"/>
  </bookViews>
  <sheets>
    <sheet name="1. Infrastructure Costs" sheetId="1" r:id="rId1"/>
    <sheet name="2. Pricing Tiers" sheetId="2" r:id="rId2"/>
    <sheet name="3. Profitability" sheetId="3" r:id="rId3"/>
    <sheet name="4. Buy vs Rent" sheetId="4" r:id="rId4"/>
    <sheet name="stack" sheetId="5" r:id="rId5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3" l="1"/>
  <c r="B22" i="3"/>
  <c r="D21" i="3"/>
  <c r="B21" i="3"/>
  <c r="D20" i="3"/>
  <c r="B20" i="3"/>
  <c r="D19" i="3"/>
  <c r="B19" i="3"/>
  <c r="D18" i="3"/>
  <c r="B18" i="3"/>
  <c r="B9" i="3"/>
  <c r="C13" i="3" s="1"/>
  <c r="D13" i="3" s="1"/>
  <c r="B8" i="3"/>
  <c r="B5" i="3"/>
  <c r="C7" i="2"/>
  <c r="C6" i="2"/>
  <c r="C5" i="2"/>
  <c r="D16" i="1"/>
  <c r="D15" i="1"/>
  <c r="D14" i="1"/>
  <c r="C14" i="3" l="1"/>
  <c r="D14" i="3" s="1"/>
</calcChain>
</file>

<file path=xl/sharedStrings.xml><?xml version="1.0" encoding="utf-8"?>
<sst xmlns="http://schemas.openxmlformats.org/spreadsheetml/2006/main" count="159" uniqueCount="149">
  <si>
    <t>🏗️  MIRA — Infrastructure Cost Analysis</t>
  </si>
  <si>
    <t>OPTION A: Buy Hardware (One-Time CAPEX)</t>
  </si>
  <si>
    <t>Item</t>
  </si>
  <si>
    <t>Cost (₹)</t>
  </si>
  <si>
    <t>Frequency</t>
  </si>
  <si>
    <t>Notes</t>
  </si>
  <si>
    <t>Used RTX 3090 24GB build (Agent Server)</t>
  </si>
  <si>
    <t>One-time</t>
  </si>
  <si>
    <t>Range: ₹80K–₹1L</t>
  </si>
  <si>
    <t>New RTX 4090 24GB build (Agent Server)</t>
  </si>
  <si>
    <t>Range: ₹1.5L–₹2L</t>
  </si>
  <si>
    <t>Electricity (~300W server, 24/7)</t>
  </si>
  <si>
    <t>/month</t>
  </si>
  <si>
    <t>Range: ₹2K–₹3K</t>
  </si>
  <si>
    <t>Internet (static IP for WebSocket)</t>
  </si>
  <si>
    <t>Range: ₹1K–₹2K</t>
  </si>
  <si>
    <t>Existing VPS (FusionPBX)</t>
  </si>
  <si>
    <t>Already paying</t>
  </si>
  <si>
    <t>Total (Used 3090 Build)</t>
  </si>
  <si>
    <t>₹80K upfront + ₹4K/month</t>
  </si>
  <si>
    <t>Breakeven in ~3.5 months at 10 doctors</t>
  </si>
  <si>
    <t>OPTION B: Rent Cloud GPU (Recurring OPEX)</t>
  </si>
  <si>
    <t>Provider</t>
  </si>
  <si>
    <t>GPU</t>
  </si>
  <si>
    <t>Cost/hr (₹)</t>
  </si>
  <si>
    <t>Cost/month 24/7 (₹)</t>
  </si>
  <si>
    <t>RunPod</t>
  </si>
  <si>
    <t>RTX 4090</t>
  </si>
  <si>
    <t>Vast.ai</t>
  </si>
  <si>
    <t>RTX 3090</t>
  </si>
  <si>
    <t>Lambda</t>
  </si>
  <si>
    <t>A10G</t>
  </si>
  <si>
    <t>💰  MIRA — Pricing Tiers &amp; Annual Plans</t>
  </si>
  <si>
    <t>Monthly Pricing</t>
  </si>
  <si>
    <t>Plan</t>
  </si>
  <si>
    <t>Price/month (₹)</t>
  </si>
  <si>
    <t>Annual (₹/yr)</t>
  </si>
  <si>
    <t>What's Included</t>
  </si>
  <si>
    <t>Basic</t>
  </si>
  <si>
    <t>Mira AI receptionist, appointment booking, 24/7 availability</t>
  </si>
  <si>
    <t>Pro</t>
  </si>
  <si>
    <t>Basic + WhatsApp notifications + call recordings + monthly report</t>
  </si>
  <si>
    <t>Premium</t>
  </si>
  <si>
    <t>Pro + multilingual (Hindi/English/Regional) + priority support</t>
  </si>
  <si>
    <t>Annual plans include a 20% discount to incentivize lock-in. Effective monthly rates: Basic ₹2,400 | Pro ₹4,000 | Premium ₹6,400</t>
  </si>
  <si>
    <t>vs. Human Receptionist (Your Competition)</t>
  </si>
  <si>
    <t>Human Receptionist</t>
  </si>
  <si>
    <t>Mira AI</t>
  </si>
  <si>
    <t>Advantage</t>
  </si>
  <si>
    <t>Monthly Cost</t>
  </si>
  <si>
    <t>₹8K – ₹20K</t>
  </si>
  <si>
    <t>₹2,999/month</t>
  </si>
  <si>
    <t>10× cheaper</t>
  </si>
  <si>
    <t>Availability</t>
  </si>
  <si>
    <t>8–10 hrs/day</t>
  </si>
  <si>
    <t>24/7/365</t>
  </si>
  <si>
    <t>3× more hours</t>
  </si>
  <si>
    <t>Simultaneous Calls</t>
  </si>
  <si>
    <t>1 at a time</t>
  </si>
  <si>
    <t>Unlimited (queued)</t>
  </si>
  <si>
    <t>No missed calls</t>
  </si>
  <si>
    <t>Leaves / Holidays</t>
  </si>
  <si>
    <t>Takes leaves ❌</t>
  </si>
  <si>
    <t>Never ✅</t>
  </si>
  <si>
    <t>Zero downtime</t>
  </si>
  <si>
    <t>📈  MIRA — Profitability &amp; Breakeven Analysis</t>
  </si>
  <si>
    <t>Scenario: 10 Doctors on Basic Plan (₹2,999/month)</t>
  </si>
  <si>
    <t>Monthly (₹)</t>
  </si>
  <si>
    <t>Revenue (10 × ₹2,999)</t>
  </si>
  <si>
    <t>Server Electricity</t>
  </si>
  <si>
    <t>Internet</t>
  </si>
  <si>
    <t>DID Numbers (10 × ₹200)</t>
  </si>
  <si>
    <t>NET PROFIT</t>
  </si>
  <si>
    <t>Breakeven Analysis (Hardware Purchase)</t>
  </si>
  <si>
    <t>Hardware</t>
  </si>
  <si>
    <t>Monthly Profit (₹)</t>
  </si>
  <si>
    <t>Breakeven (months)</t>
  </si>
  <si>
    <t>Used RTX 3090 Build</t>
  </si>
  <si>
    <t>New RTX 4090 Build</t>
  </si>
  <si>
    <t>Scale Projection (Basic Plan @ ₹2,999/month)</t>
  </si>
  <si>
    <t>Doctors</t>
  </si>
  <si>
    <t>Monthly Revenue (₹)</t>
  </si>
  <si>
    <t>Monthly Cost (₹)</t>
  </si>
  <si>
    <t>⚠️  At 50 doctors, a second GPU server (~₹1L) is needed — still highly profitable at ₹1.4L/month net.</t>
  </si>
  <si>
    <t>⚖️  MIRA — Buy vs Rent Decision Matrix</t>
  </si>
  <si>
    <t>Factor</t>
  </si>
  <si>
    <t>Buy (RTX 3090)</t>
  </si>
  <si>
    <t>Rent (Vast.ai)</t>
  </si>
  <si>
    <t>Upfront Cost</t>
  </si>
  <si>
    <t>₹80,000</t>
  </si>
  <si>
    <t>₹0</t>
  </si>
  <si>
    <t>Monthly Fixed Cost</t>
  </si>
  <si>
    <t>₹5,000</t>
  </si>
  <si>
    <t>₹17,000</t>
  </si>
  <si>
    <t>Breakeven (3 doctors)</t>
  </si>
  <si>
    <t>Month 4</t>
  </si>
  <si>
    <t>Month 1</t>
  </si>
  <si>
    <t>Profit at 10 doctors/month</t>
  </si>
  <si>
    <t>₹23,000</t>
  </si>
  <si>
    <t>₹11,000</t>
  </si>
  <si>
    <t>Risk</t>
  </si>
  <si>
    <t>Hardware failure</t>
  </si>
  <si>
    <t>Vendor pricing</t>
  </si>
  <si>
    <t>Best For</t>
  </si>
  <si>
    <t>Long-term (3+ months)</t>
  </si>
  <si>
    <t>Testing / MVP phase</t>
  </si>
  <si>
    <t>📋  Recommended Strategy</t>
  </si>
  <si>
    <t>Step 1: Start with Vast.ai rental (~₹12–17K/mo) to build and test Mira with your first 3 doctors.</t>
  </si>
  <si>
    <t>Step 2: Once you have 5+ paying doctors, buy a used RTX 3090 build (~₹80K) to maximize profit.</t>
  </si>
  <si>
    <t>Step 3: Scale to 50 doctors on one machine, then add a second server.</t>
  </si>
  <si>
    <t>💡  Verdict: If plan to serve 3+ doctors, buying hardware pays for itself in 3–4 months vs renting.</t>
  </si>
  <si>
    <t>🏗️  MIRA — stack choice</t>
  </si>
  <si>
    <t>Layer</t>
  </si>
  <si>
    <t>Previous (paid)</t>
  </si>
  <si>
    <t>Replacement (100% open source)</t>
  </si>
  <si>
    <t>Quality trade-off</t>
  </si>
  <si>
    <t>STT</t>
  </si>
  <si>
    <t>Sarvam Saarika</t>
  </si>
  <si>
    <t>Whisper Large V3 Turbo (OpenAI, MIT licence, self-hosted)</t>
  </si>
  <si>
    <t>Minimal — Whisper Large V3 Turbo delivers 6x faster inference than Large V3 by reducing decoder layers while maintaining accuracy within 1–2% of the full model</t>
  </si>
  <si>
    <t>STT (Hindi boost)</t>
  </si>
  <si>
    <t>Whisper-Hindi2Hinglish-Apex (Oriserve, open source on HuggingFace)</t>
  </si>
  <si>
    <t>Trained on 1,000+ hours of Indian call audio, optimised for Hindi, Hinglish, and Indian-accented English — 42% higher average performance over Whisper baseline</t>
  </si>
  <si>
    <t>TTS</t>
  </si>
  <si>
    <t>Sarvam Bulbul</t>
  </si>
  <si>
    <t>AI4Bharat Indic-Parler-TTS (Apache 2.0)</t>
  </si>
  <si>
    <t>Supports 21 Indian languages including Hindi, Tamil, Telugu, Bengali, Marathi and more, with controllable voice characteristics like pitch, pace, and expressivity</t>
  </si>
  <si>
    <t>TTS (alternative)</t>
  </si>
  <si>
    <t>Svara-TTS (open source, Kenpath)</t>
  </si>
  <si>
    <t>19 Indian languages, balanced male-female voices, emotion-aware conditioning, and zero-shot voice cloning</t>
  </si>
  <si>
    <t>LLM</t>
  </si>
  <si>
    <t>—</t>
  </si>
  <si>
    <t>Ollama + Llama 3.1 8B</t>
  </si>
  <si>
    <t>Free, runs on your server</t>
  </si>
  <si>
    <t>Voice pipeline</t>
  </si>
  <si>
    <t>Pipecat</t>
  </si>
  <si>
    <t>Pipecat (open source, BSD licence)</t>
  </si>
  <si>
    <t>No change</t>
  </si>
  <si>
    <t>Notification</t>
  </si>
  <si>
    <t>WhatsApp Cloud API</t>
  </si>
  <si>
    <t>Telegram Bot API (free, no WhatsApp needed) OR self-hosted ntfy push</t>
  </si>
  <si>
    <t>See below</t>
  </si>
  <si>
    <t>Calendar</t>
  </si>
  <si>
    <t>Google Calendar API</t>
  </si>
  <si>
    <t>Nextcloud + CalDAV (fully self-hosted)</t>
  </si>
  <si>
    <t>No change in capability</t>
  </si>
  <si>
    <t>PBX</t>
  </si>
  <si>
    <t>FusionPBX</t>
  </si>
  <si>
    <t>FusionPBX (already deployed)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</si>
</sst>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&quot; months&quot;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595959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sz val="10"/>
      <color rgb="FFC00000"/>
      <name val="Arial"/>
      <charset val="1"/>
    </font>
    <font>
      <b/>
      <sz val="10"/>
      <color rgb="FF2E75B6"/>
      <name val="Arial"/>
      <charset val="1"/>
    </font>
    <font>
      <i/>
      <sz val="9"/>
      <color rgb="FF7F6000"/>
      <name val="Arial"/>
      <charset val="1"/>
    </font>
    <font>
      <sz val="10"/>
      <color rgb="FF1F3864"/>
      <name val="Arial"/>
      <charset val="1"/>
    </font>
    <font>
      <sz val="10"/>
      <color rgb="FF7F6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 wrapText="1"/>
    </xf>
    <xf numFmtId="164" fontId="5" fillId="8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164" fontId="5" fillId="9" borderId="1" xfId="0" applyNumberFormat="1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164" fontId="5" fillId="10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12" borderId="3" xfId="0" applyFill="1" applyBorder="1"/>
    <xf numFmtId="0" fontId="0" fillId="13" borderId="3" xfId="0" applyFill="1" applyBorder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zoomScaleNormal="100" workbookViewId="0">
      <selection sqref="A1:D1"/>
    </sheetView>
  </sheetViews>
  <sheetFormatPr defaultColWidth="54.28515625" defaultRowHeight="15" x14ac:dyDescent="0.25"/>
  <sheetData>
    <row r="1" spans="1:4" ht="30" customHeight="1" x14ac:dyDescent="0.25">
      <c r="A1" s="41" t="s">
        <v>0</v>
      </c>
      <c r="B1" s="41"/>
      <c r="C1" s="41"/>
      <c r="D1" s="41"/>
    </row>
    <row r="3" spans="1:4" ht="21.75" customHeight="1" x14ac:dyDescent="0.25">
      <c r="A3" s="45" t="s">
        <v>1</v>
      </c>
      <c r="B3" s="45"/>
      <c r="C3" s="45"/>
      <c r="D3" s="45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3">
        <v>90000</v>
      </c>
      <c r="C5" s="4" t="s">
        <v>7</v>
      </c>
      <c r="D5" s="5" t="s">
        <v>8</v>
      </c>
    </row>
    <row r="6" spans="1:4" x14ac:dyDescent="0.25">
      <c r="A6" s="6" t="s">
        <v>9</v>
      </c>
      <c r="B6" s="7">
        <v>175000</v>
      </c>
      <c r="C6" s="8" t="s">
        <v>7</v>
      </c>
      <c r="D6" s="9" t="s">
        <v>10</v>
      </c>
    </row>
    <row r="7" spans="1:4" x14ac:dyDescent="0.25">
      <c r="A7" s="2" t="s">
        <v>11</v>
      </c>
      <c r="B7" s="3">
        <v>2500</v>
      </c>
      <c r="C7" s="4" t="s">
        <v>12</v>
      </c>
      <c r="D7" s="5" t="s">
        <v>13</v>
      </c>
    </row>
    <row r="8" spans="1:4" x14ac:dyDescent="0.25">
      <c r="A8" s="6" t="s">
        <v>14</v>
      </c>
      <c r="B8" s="7">
        <v>1500</v>
      </c>
      <c r="C8" s="8" t="s">
        <v>12</v>
      </c>
      <c r="D8" s="9" t="s">
        <v>15</v>
      </c>
    </row>
    <row r="9" spans="1:4" x14ac:dyDescent="0.25">
      <c r="A9" s="2" t="s">
        <v>16</v>
      </c>
      <c r="B9" s="3">
        <v>0</v>
      </c>
      <c r="C9" s="4" t="s">
        <v>12</v>
      </c>
      <c r="D9" s="5" t="s">
        <v>17</v>
      </c>
    </row>
    <row r="10" spans="1:4" x14ac:dyDescent="0.25">
      <c r="A10" s="10" t="s">
        <v>18</v>
      </c>
      <c r="B10" s="11" t="s">
        <v>19</v>
      </c>
      <c r="C10" s="12"/>
      <c r="D10" s="13" t="s">
        <v>20</v>
      </c>
    </row>
    <row r="12" spans="1:4" ht="21.75" customHeight="1" x14ac:dyDescent="0.25">
      <c r="A12" s="45" t="s">
        <v>21</v>
      </c>
      <c r="B12" s="45"/>
      <c r="C12" s="45"/>
      <c r="D12" s="45"/>
    </row>
    <row r="13" spans="1:4" x14ac:dyDescent="0.25">
      <c r="A13" s="1" t="s">
        <v>22</v>
      </c>
      <c r="B13" s="1" t="s">
        <v>23</v>
      </c>
      <c r="C13" s="1" t="s">
        <v>24</v>
      </c>
      <c r="D13" s="1" t="s">
        <v>25</v>
      </c>
    </row>
    <row r="14" spans="1:4" x14ac:dyDescent="0.25">
      <c r="A14" s="6" t="s">
        <v>26</v>
      </c>
      <c r="B14" s="8" t="s">
        <v>27</v>
      </c>
      <c r="C14" s="7">
        <v>33</v>
      </c>
      <c r="D14" s="14">
        <f>C14*24*30</f>
        <v>23760</v>
      </c>
    </row>
    <row r="15" spans="1:4" x14ac:dyDescent="0.25">
      <c r="A15" s="2" t="s">
        <v>28</v>
      </c>
      <c r="B15" s="4" t="s">
        <v>29</v>
      </c>
      <c r="C15" s="3">
        <v>17</v>
      </c>
      <c r="D15" s="15">
        <f>C15*24*30</f>
        <v>12240</v>
      </c>
    </row>
    <row r="16" spans="1:4" x14ac:dyDescent="0.25">
      <c r="A16" s="6" t="s">
        <v>30</v>
      </c>
      <c r="B16" s="8" t="s">
        <v>31</v>
      </c>
      <c r="C16" s="7">
        <v>50</v>
      </c>
      <c r="D16" s="14">
        <f>C16*24*30</f>
        <v>36000</v>
      </c>
    </row>
    <row r="18" spans="1:4" ht="21.75" customHeight="1" x14ac:dyDescent="0.25">
      <c r="A18" s="43" t="s">
        <v>110</v>
      </c>
      <c r="B18" s="43"/>
      <c r="C18" s="43"/>
      <c r="D18" s="43"/>
    </row>
  </sheetData>
  <mergeCells count="4">
    <mergeCell ref="A1:D1"/>
    <mergeCell ref="A3:D3"/>
    <mergeCell ref="A12:D12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zoomScaleNormal="100" workbookViewId="0">
      <selection activeCell="B34" sqref="B34"/>
    </sheetView>
  </sheetViews>
  <sheetFormatPr defaultColWidth="47.7109375" defaultRowHeight="15" x14ac:dyDescent="0.25"/>
  <sheetData>
    <row r="1" spans="1:4" ht="30" customHeight="1" x14ac:dyDescent="0.25">
      <c r="A1" s="41" t="s">
        <v>32</v>
      </c>
      <c r="B1" s="41"/>
      <c r="C1" s="41"/>
      <c r="D1" s="41"/>
    </row>
    <row r="3" spans="1:4" ht="15" customHeight="1" x14ac:dyDescent="0.25">
      <c r="A3" s="45" t="s">
        <v>33</v>
      </c>
      <c r="B3" s="45"/>
      <c r="C3" s="45"/>
      <c r="D3" s="45"/>
    </row>
    <row r="4" spans="1:4" x14ac:dyDescent="0.25">
      <c r="A4" s="1" t="s">
        <v>34</v>
      </c>
      <c r="B4" s="1" t="s">
        <v>35</v>
      </c>
      <c r="C4" s="1" t="s">
        <v>36</v>
      </c>
      <c r="D4" s="1" t="s">
        <v>37</v>
      </c>
    </row>
    <row r="5" spans="1:4" ht="25.5" x14ac:dyDescent="0.25">
      <c r="A5" s="16" t="s">
        <v>38</v>
      </c>
      <c r="B5" s="17">
        <v>2999</v>
      </c>
      <c r="C5" s="18">
        <f>B5*12*0.8</f>
        <v>28790.400000000001</v>
      </c>
      <c r="D5" s="19" t="s">
        <v>39</v>
      </c>
    </row>
    <row r="6" spans="1:4" ht="25.5" x14ac:dyDescent="0.25">
      <c r="A6" s="20" t="s">
        <v>40</v>
      </c>
      <c r="B6" s="21">
        <v>4999</v>
      </c>
      <c r="C6" s="22">
        <f>B6*12*0.8</f>
        <v>47990.400000000001</v>
      </c>
      <c r="D6" s="23" t="s">
        <v>41</v>
      </c>
    </row>
    <row r="7" spans="1:4" ht="25.5" x14ac:dyDescent="0.25">
      <c r="A7" s="24" t="s">
        <v>42</v>
      </c>
      <c r="B7" s="25">
        <v>7999</v>
      </c>
      <c r="C7" s="26">
        <f>B7*12*0.8</f>
        <v>76790.400000000009</v>
      </c>
      <c r="D7" s="27" t="s">
        <v>43</v>
      </c>
    </row>
    <row r="9" spans="1:4" ht="15" customHeight="1" x14ac:dyDescent="0.25">
      <c r="A9" s="46" t="s">
        <v>44</v>
      </c>
      <c r="B9" s="46"/>
      <c r="C9" s="46"/>
      <c r="D9" s="46"/>
    </row>
    <row r="11" spans="1:4" ht="15" customHeight="1" x14ac:dyDescent="0.25">
      <c r="A11" s="45" t="s">
        <v>45</v>
      </c>
      <c r="B11" s="45"/>
      <c r="C11" s="45"/>
      <c r="D11" s="45"/>
    </row>
    <row r="12" spans="1:4" x14ac:dyDescent="0.25">
      <c r="A12" s="1" t="s">
        <v>2</v>
      </c>
      <c r="B12" s="1" t="s">
        <v>46</v>
      </c>
      <c r="C12" s="1" t="s">
        <v>47</v>
      </c>
      <c r="D12" s="1" t="s">
        <v>48</v>
      </c>
    </row>
    <row r="13" spans="1:4" x14ac:dyDescent="0.25">
      <c r="A13" s="28" t="s">
        <v>49</v>
      </c>
      <c r="B13" s="29" t="s">
        <v>50</v>
      </c>
      <c r="C13" s="30" t="s">
        <v>51</v>
      </c>
      <c r="D13" s="31" t="s">
        <v>52</v>
      </c>
    </row>
    <row r="14" spans="1:4" x14ac:dyDescent="0.25">
      <c r="A14" s="32" t="s">
        <v>53</v>
      </c>
      <c r="B14" s="33" t="s">
        <v>54</v>
      </c>
      <c r="C14" s="30" t="s">
        <v>55</v>
      </c>
      <c r="D14" s="34" t="s">
        <v>56</v>
      </c>
    </row>
    <row r="15" spans="1:4" x14ac:dyDescent="0.25">
      <c r="A15" s="28" t="s">
        <v>57</v>
      </c>
      <c r="B15" s="29" t="s">
        <v>58</v>
      </c>
      <c r="C15" s="30" t="s">
        <v>59</v>
      </c>
      <c r="D15" s="31" t="s">
        <v>60</v>
      </c>
    </row>
    <row r="16" spans="1:4" x14ac:dyDescent="0.25">
      <c r="A16" s="32" t="s">
        <v>61</v>
      </c>
      <c r="B16" s="33" t="s">
        <v>62</v>
      </c>
      <c r="C16" s="30" t="s">
        <v>63</v>
      </c>
      <c r="D16" s="34" t="s">
        <v>64</v>
      </c>
    </row>
  </sheetData>
  <mergeCells count="4">
    <mergeCell ref="A1:D1"/>
    <mergeCell ref="A3:D3"/>
    <mergeCell ref="A9:D9"/>
    <mergeCell ref="A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showGridLines="0" zoomScaleNormal="100" workbookViewId="0">
      <selection activeCell="E13" sqref="E13"/>
    </sheetView>
  </sheetViews>
  <sheetFormatPr defaultColWidth="48.7109375" defaultRowHeight="15" x14ac:dyDescent="0.25"/>
  <sheetData>
    <row r="1" spans="1:4" ht="30" customHeight="1" x14ac:dyDescent="0.25">
      <c r="A1" s="41" t="s">
        <v>65</v>
      </c>
      <c r="B1" s="41"/>
      <c r="C1" s="41"/>
      <c r="D1" s="41"/>
    </row>
    <row r="3" spans="1:4" ht="15" customHeight="1" x14ac:dyDescent="0.25">
      <c r="A3" s="45" t="s">
        <v>66</v>
      </c>
      <c r="B3" s="45"/>
      <c r="C3" s="45"/>
      <c r="D3" s="45"/>
    </row>
    <row r="4" spans="1:4" x14ac:dyDescent="0.25">
      <c r="A4" s="1" t="s">
        <v>2</v>
      </c>
      <c r="B4" s="1" t="s">
        <v>67</v>
      </c>
      <c r="C4" s="1"/>
      <c r="D4" s="1"/>
    </row>
    <row r="5" spans="1:4" x14ac:dyDescent="0.25">
      <c r="A5" s="10" t="s">
        <v>68</v>
      </c>
      <c r="B5" s="35">
        <f>10*2999</f>
        <v>29990</v>
      </c>
      <c r="C5" s="12"/>
      <c r="D5" s="12"/>
    </row>
    <row r="6" spans="1:4" x14ac:dyDescent="0.25">
      <c r="A6" s="2" t="s">
        <v>69</v>
      </c>
      <c r="B6" s="3">
        <v>-3000</v>
      </c>
      <c r="C6" s="2"/>
      <c r="D6" s="2"/>
    </row>
    <row r="7" spans="1:4" x14ac:dyDescent="0.25">
      <c r="A7" s="2" t="s">
        <v>70</v>
      </c>
      <c r="B7" s="3">
        <v>-2000</v>
      </c>
      <c r="C7" s="2"/>
      <c r="D7" s="2"/>
    </row>
    <row r="8" spans="1:4" x14ac:dyDescent="0.25">
      <c r="A8" s="2" t="s">
        <v>71</v>
      </c>
      <c r="B8" s="15">
        <f>-(10*200)</f>
        <v>-2000</v>
      </c>
      <c r="C8" s="2"/>
      <c r="D8" s="2"/>
    </row>
    <row r="9" spans="1:4" x14ac:dyDescent="0.25">
      <c r="A9" s="10" t="s">
        <v>72</v>
      </c>
      <c r="B9" s="35">
        <f>SUM(B5:B8)</f>
        <v>22990</v>
      </c>
      <c r="C9" s="12"/>
      <c r="D9" s="12"/>
    </row>
    <row r="11" spans="1:4" ht="15" customHeight="1" x14ac:dyDescent="0.25">
      <c r="A11" s="45" t="s">
        <v>73</v>
      </c>
      <c r="B11" s="45"/>
      <c r="C11" s="45"/>
      <c r="D11" s="45"/>
    </row>
    <row r="12" spans="1:4" x14ac:dyDescent="0.25">
      <c r="A12" s="1" t="s">
        <v>74</v>
      </c>
      <c r="B12" s="1" t="s">
        <v>3</v>
      </c>
      <c r="C12" s="1" t="s">
        <v>75</v>
      </c>
      <c r="D12" s="1" t="s">
        <v>76</v>
      </c>
    </row>
    <row r="13" spans="1:4" x14ac:dyDescent="0.25">
      <c r="A13" s="2" t="s">
        <v>77</v>
      </c>
      <c r="B13" s="3">
        <v>80000</v>
      </c>
      <c r="C13" s="15">
        <f>B9</f>
        <v>22990</v>
      </c>
      <c r="D13" s="36">
        <f>ROUND(B13/C13,1)</f>
        <v>3.5</v>
      </c>
    </row>
    <row r="14" spans="1:4" x14ac:dyDescent="0.25">
      <c r="A14" s="6" t="s">
        <v>78</v>
      </c>
      <c r="B14" s="7">
        <v>150000</v>
      </c>
      <c r="C14" s="14">
        <f>B9</f>
        <v>22990</v>
      </c>
      <c r="D14" s="36">
        <f>ROUND(B14/C14,1)</f>
        <v>6.5</v>
      </c>
    </row>
    <row r="16" spans="1:4" ht="15" customHeight="1" x14ac:dyDescent="0.25">
      <c r="A16" s="45" t="s">
        <v>79</v>
      </c>
      <c r="B16" s="45"/>
      <c r="C16" s="45"/>
      <c r="D16" s="45"/>
    </row>
    <row r="17" spans="1:4" x14ac:dyDescent="0.25">
      <c r="A17" s="1" t="s">
        <v>80</v>
      </c>
      <c r="B17" s="1" t="s">
        <v>81</v>
      </c>
      <c r="C17" s="1" t="s">
        <v>82</v>
      </c>
      <c r="D17" s="1" t="s">
        <v>75</v>
      </c>
    </row>
    <row r="18" spans="1:4" x14ac:dyDescent="0.25">
      <c r="A18" s="37">
        <v>3</v>
      </c>
      <c r="B18" s="14">
        <f>A18*2999</f>
        <v>8997</v>
      </c>
      <c r="C18" s="7">
        <v>5600</v>
      </c>
      <c r="D18" s="35">
        <f>B18-C18</f>
        <v>3397</v>
      </c>
    </row>
    <row r="19" spans="1:4" x14ac:dyDescent="0.25">
      <c r="A19" s="38">
        <v>5</v>
      </c>
      <c r="B19" s="15">
        <f>A19*2999</f>
        <v>14995</v>
      </c>
      <c r="C19" s="3">
        <v>6000</v>
      </c>
      <c r="D19" s="35">
        <f>B19-C19</f>
        <v>8995</v>
      </c>
    </row>
    <row r="20" spans="1:4" x14ac:dyDescent="0.25">
      <c r="A20" s="37">
        <v>10</v>
      </c>
      <c r="B20" s="14">
        <f>A20*2999</f>
        <v>29990</v>
      </c>
      <c r="C20" s="7">
        <v>7000</v>
      </c>
      <c r="D20" s="35">
        <f>B20-C20</f>
        <v>22990</v>
      </c>
    </row>
    <row r="21" spans="1:4" x14ac:dyDescent="0.25">
      <c r="A21" s="38">
        <v>25</v>
      </c>
      <c r="B21" s="15">
        <f>A21*2999</f>
        <v>74975</v>
      </c>
      <c r="C21" s="3">
        <v>8000</v>
      </c>
      <c r="D21" s="35">
        <f>B21-C21</f>
        <v>66975</v>
      </c>
    </row>
    <row r="22" spans="1:4" x14ac:dyDescent="0.25">
      <c r="A22" s="37">
        <v>50</v>
      </c>
      <c r="B22" s="14">
        <f>A22*2999</f>
        <v>149950</v>
      </c>
      <c r="C22" s="7">
        <v>10000</v>
      </c>
      <c r="D22" s="35">
        <f>B22-C22</f>
        <v>139950</v>
      </c>
    </row>
    <row r="23" spans="1:4" ht="15" customHeight="1" x14ac:dyDescent="0.25">
      <c r="A23" s="47" t="s">
        <v>83</v>
      </c>
      <c r="B23" s="47"/>
      <c r="C23" s="47"/>
      <c r="D23" s="47"/>
    </row>
  </sheetData>
  <mergeCells count="5">
    <mergeCell ref="A1:D1"/>
    <mergeCell ref="A3:D3"/>
    <mergeCell ref="A11:D11"/>
    <mergeCell ref="A16:D16"/>
    <mergeCell ref="A23:D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showGridLines="0" zoomScaleNormal="100" workbookViewId="0">
      <selection activeCell="B9" sqref="B9"/>
    </sheetView>
  </sheetViews>
  <sheetFormatPr defaultColWidth="38.42578125" defaultRowHeight="15" x14ac:dyDescent="0.25"/>
  <sheetData>
    <row r="1" spans="1:3" ht="30" customHeight="1" x14ac:dyDescent="0.25">
      <c r="A1" s="41" t="s">
        <v>84</v>
      </c>
      <c r="B1" s="41"/>
      <c r="C1" s="41"/>
    </row>
    <row r="3" spans="1:3" x14ac:dyDescent="0.25">
      <c r="A3" s="1" t="s">
        <v>85</v>
      </c>
      <c r="B3" s="1" t="s">
        <v>86</v>
      </c>
      <c r="C3" s="1" t="s">
        <v>87</v>
      </c>
    </row>
    <row r="4" spans="1:3" x14ac:dyDescent="0.25">
      <c r="A4" s="28" t="s">
        <v>88</v>
      </c>
      <c r="B4" s="39" t="s">
        <v>89</v>
      </c>
      <c r="C4" s="40" t="s">
        <v>90</v>
      </c>
    </row>
    <row r="5" spans="1:3" x14ac:dyDescent="0.25">
      <c r="A5" s="32" t="s">
        <v>91</v>
      </c>
      <c r="B5" s="39" t="s">
        <v>92</v>
      </c>
      <c r="C5" s="40" t="s">
        <v>93</v>
      </c>
    </row>
    <row r="6" spans="1:3" x14ac:dyDescent="0.25">
      <c r="A6" s="28" t="s">
        <v>94</v>
      </c>
      <c r="B6" s="39" t="s">
        <v>95</v>
      </c>
      <c r="C6" s="40" t="s">
        <v>96</v>
      </c>
    </row>
    <row r="7" spans="1:3" x14ac:dyDescent="0.25">
      <c r="A7" s="32" t="s">
        <v>97</v>
      </c>
      <c r="B7" s="39" t="s">
        <v>98</v>
      </c>
      <c r="C7" s="40" t="s">
        <v>99</v>
      </c>
    </row>
    <row r="8" spans="1:3" x14ac:dyDescent="0.25">
      <c r="A8" s="28" t="s">
        <v>100</v>
      </c>
      <c r="B8" s="39" t="s">
        <v>101</v>
      </c>
      <c r="C8" s="40" t="s">
        <v>102</v>
      </c>
    </row>
    <row r="9" spans="1:3" x14ac:dyDescent="0.25">
      <c r="A9" s="32" t="s">
        <v>103</v>
      </c>
      <c r="B9" s="39" t="s">
        <v>104</v>
      </c>
      <c r="C9" s="40" t="s">
        <v>105</v>
      </c>
    </row>
    <row r="11" spans="1:3" ht="15" customHeight="1" x14ac:dyDescent="0.25">
      <c r="A11" s="42" t="s">
        <v>106</v>
      </c>
      <c r="B11" s="42"/>
      <c r="C11" s="42"/>
    </row>
    <row r="12" spans="1:3" ht="24" customHeight="1" x14ac:dyDescent="0.25">
      <c r="A12" s="43" t="s">
        <v>107</v>
      </c>
      <c r="B12" s="43"/>
      <c r="C12" s="43"/>
    </row>
    <row r="13" spans="1:3" ht="24" customHeight="1" x14ac:dyDescent="0.25">
      <c r="A13" s="44" t="s">
        <v>108</v>
      </c>
      <c r="B13" s="44"/>
      <c r="C13" s="44"/>
    </row>
    <row r="14" spans="1:3" ht="24" customHeight="1" x14ac:dyDescent="0.25">
      <c r="A14" s="44" t="s">
        <v>109</v>
      </c>
      <c r="B14" s="44"/>
      <c r="C14" s="44"/>
    </row>
  </sheetData>
  <mergeCells count="5">
    <mergeCell ref="A1:C1"/>
    <mergeCell ref="A11:C11"/>
    <mergeCell ref="A12:C12"/>
    <mergeCell ref="A13:C13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DA2D-A723-46AB-B3AE-DBDFC2473F36}">
  <dimension ref="A1:D14"/>
  <sheetViews>
    <sheetView tabSelected="1" zoomScale="145" zoomScaleNormal="145" workbookViewId="0">
      <selection activeCell="D16" sqref="A1:XFD1048576"/>
    </sheetView>
  </sheetViews>
  <sheetFormatPr defaultColWidth="44.28515625" defaultRowHeight="15" x14ac:dyDescent="0.25"/>
  <cols>
    <col min="1" max="1" width="16.140625" bestFit="1" customWidth="1"/>
    <col min="2" max="2" width="19.42578125" bestFit="1" customWidth="1"/>
    <col min="3" max="3" width="63.5703125" customWidth="1"/>
    <col min="4" max="4" width="148.42578125" bestFit="1" customWidth="1"/>
  </cols>
  <sheetData>
    <row r="1" spans="1:4" ht="18" x14ac:dyDescent="0.25">
      <c r="A1" s="41" t="s">
        <v>111</v>
      </c>
      <c r="B1" s="41"/>
      <c r="C1" s="41"/>
      <c r="D1" s="41"/>
    </row>
    <row r="2" spans="1:4" s="51" customFormat="1" x14ac:dyDescent="0.25">
      <c r="A2" s="50" t="s">
        <v>112</v>
      </c>
      <c r="B2" s="50" t="s">
        <v>113</v>
      </c>
      <c r="C2" s="50" t="s">
        <v>114</v>
      </c>
      <c r="D2" s="50" t="s">
        <v>115</v>
      </c>
    </row>
    <row r="3" spans="1:4" x14ac:dyDescent="0.25">
      <c r="A3" s="49" t="s">
        <v>116</v>
      </c>
      <c r="B3" s="49" t="s">
        <v>117</v>
      </c>
      <c r="C3" s="49" t="s">
        <v>118</v>
      </c>
      <c r="D3" s="49" t="s">
        <v>119</v>
      </c>
    </row>
    <row r="4" spans="1:4" x14ac:dyDescent="0.25">
      <c r="A4" s="49" t="s">
        <v>120</v>
      </c>
      <c r="B4" s="49" t="s">
        <v>117</v>
      </c>
      <c r="C4" s="49" t="s">
        <v>121</v>
      </c>
      <c r="D4" s="49" t="s">
        <v>122</v>
      </c>
    </row>
    <row r="5" spans="1:4" x14ac:dyDescent="0.25">
      <c r="A5" s="49" t="s">
        <v>123</v>
      </c>
      <c r="B5" s="49" t="s">
        <v>124</v>
      </c>
      <c r="C5" s="49" t="s">
        <v>125</v>
      </c>
      <c r="D5" s="49" t="s">
        <v>126</v>
      </c>
    </row>
    <row r="6" spans="1:4" x14ac:dyDescent="0.25">
      <c r="A6" s="49" t="s">
        <v>127</v>
      </c>
      <c r="B6" s="49" t="s">
        <v>124</v>
      </c>
      <c r="C6" s="49" t="s">
        <v>128</v>
      </c>
      <c r="D6" s="49" t="s">
        <v>129</v>
      </c>
    </row>
    <row r="7" spans="1:4" x14ac:dyDescent="0.25">
      <c r="A7" s="49" t="s">
        <v>130</v>
      </c>
      <c r="B7" s="49" t="s">
        <v>131</v>
      </c>
      <c r="C7" s="49" t="s">
        <v>132</v>
      </c>
      <c r="D7" s="49" t="s">
        <v>133</v>
      </c>
    </row>
    <row r="8" spans="1:4" x14ac:dyDescent="0.25">
      <c r="A8" s="49" t="s">
        <v>134</v>
      </c>
      <c r="B8" s="49" t="s">
        <v>135</v>
      </c>
      <c r="C8" s="49" t="s">
        <v>136</v>
      </c>
      <c r="D8" s="49" t="s">
        <v>137</v>
      </c>
    </row>
    <row r="9" spans="1:4" x14ac:dyDescent="0.25">
      <c r="A9" s="49" t="s">
        <v>138</v>
      </c>
      <c r="B9" s="49" t="s">
        <v>139</v>
      </c>
      <c r="C9" s="49" t="s">
        <v>140</v>
      </c>
      <c r="D9" s="49" t="s">
        <v>141</v>
      </c>
    </row>
    <row r="10" spans="1:4" x14ac:dyDescent="0.25">
      <c r="A10" s="49" t="s">
        <v>142</v>
      </c>
      <c r="B10" s="49" t="s">
        <v>143</v>
      </c>
      <c r="C10" s="49" t="s">
        <v>144</v>
      </c>
      <c r="D10" s="49" t="s">
        <v>145</v>
      </c>
    </row>
    <row r="11" spans="1:4" x14ac:dyDescent="0.25">
      <c r="A11" s="49" t="s">
        <v>146</v>
      </c>
      <c r="B11" s="49" t="s">
        <v>147</v>
      </c>
      <c r="C11" s="49" t="s">
        <v>148</v>
      </c>
      <c r="D11" s="49" t="s">
        <v>137</v>
      </c>
    </row>
    <row r="12" spans="1:4" x14ac:dyDescent="0.25">
      <c r="A12" s="48"/>
      <c r="B12" s="48"/>
      <c r="C12" s="48"/>
      <c r="D12" s="48"/>
    </row>
    <row r="14" spans="1:4" x14ac:dyDescent="0.25">
      <c r="C14" s="4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Infrastructure Costs</vt:lpstr>
      <vt:lpstr>2. Pricing Tiers</vt:lpstr>
      <vt:lpstr>3. Profitability</vt:lpstr>
      <vt:lpstr>4. Buy vs Rent</vt:lpstr>
      <vt:lpstr>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Santanu Adhikary(Administrator)</cp:lastModifiedBy>
  <cp:revision>0</cp:revision>
  <dcterms:created xsi:type="dcterms:W3CDTF">2026-03-12T21:29:50Z</dcterms:created>
  <dcterms:modified xsi:type="dcterms:W3CDTF">2026-03-12T22:57:59Z</dcterms:modified>
  <dc:language>en-US</dc:language>
</cp:coreProperties>
</file>